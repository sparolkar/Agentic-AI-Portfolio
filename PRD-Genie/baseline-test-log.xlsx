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8f63e7a8738013d/Documents/Shailendra/Interview Kickstart/Capstone Projects/PRD Genie/"/>
    </mc:Choice>
  </mc:AlternateContent>
  <xr:revisionPtr revIDLastSave="57" documentId="11_90B9B41ADEE1D7270BD58D91C91EF0CAFAD4694B" xr6:coauthVersionLast="47" xr6:coauthVersionMax="47" xr10:uidLastSave="{0700EDB1-EA25-4E52-B7A8-3B3B1C277997}"/>
  <bookViews>
    <workbookView xWindow="-110" yWindow="-110" windowWidth="19420" windowHeight="10300" xr2:uid="{00000000-000D-0000-FFFF-FFFF00000000}"/>
  </bookViews>
  <sheets>
    <sheet name="Test Results" sheetId="1" r:id="rId1"/>
    <sheet name="Edge Cases" sheetId="2" r:id="rId2"/>
    <sheet name="Fixes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  <c r="B3" i="4"/>
</calcChain>
</file>

<file path=xl/sharedStrings.xml><?xml version="1.0" encoding="utf-8"?>
<sst xmlns="http://schemas.openxmlformats.org/spreadsheetml/2006/main" count="135" uniqueCount="82">
  <si>
    <t>Test ID</t>
  </si>
  <si>
    <t>Input</t>
  </si>
  <si>
    <t>Expected output must contain</t>
  </si>
  <si>
    <t>Output</t>
  </si>
  <si>
    <t>Expected keywords present?</t>
  </si>
  <si>
    <t>Missing keywords</t>
  </si>
  <si>
    <t>Hallucination detected?</t>
  </si>
  <si>
    <t>Pass/Fail</t>
  </si>
  <si>
    <t>Notes</t>
  </si>
  <si>
    <t>T1</t>
  </si>
  <si>
    <t>The user should be able to filter reports by date range, category, and status. Results must load in under 2 seconds. PM: Sarah. Deadline: Q3.</t>
  </si>
  <si>
    <t>filter by date/category/status; 2-second load; PM Sarah; Q3 deadline. Must NOT add requirements not in transcript.</t>
  </si>
  <si>
    <t>No</t>
  </si>
  <si>
    <t>T2</t>
  </si>
  <si>
    <t>We need better reporting. Something like what Competitor X has.</t>
  </si>
  <si>
    <t>Flag as ambiguous; list missing info (what metrics, what format, what users). Must NOT invent specific requirements.</t>
  </si>
  <si>
    <t>T3</t>
  </si>
  <si>
    <t>The dashboard should auto-refresh every 5 seconds. [Later in same meeting] Performance is critical, minimize API calls.</t>
  </si>
  <si>
    <t>Identify the contradiction (frequent refresh vs minimize calls). Flag for stakeholder resolution.</t>
  </si>
  <si>
    <t>T4</t>
  </si>
  <si>
    <t>Users need to export reports as PDF and CSV. PDF must include company logo. CSV must preserve formulas.</t>
  </si>
  <si>
    <t>Extract acceptance criteria verbatim; generate User Stories with these as criteria. Must NOT add extra criteria.</t>
  </si>
  <si>
    <t>T5</t>
  </si>
  <si>
    <t>Discussed dashboard... John mentioned something about real-time... budget TBD...</t>
  </si>
  <si>
    <t>Flag as insufficient; list what is missing (what dashboard, what real-time, what budget). Must NOT fill gaps with assumptions.</t>
  </si>
  <si>
    <t>T6</t>
  </si>
  <si>
    <t>Engineering wants microservices. Design wants single-page app. PM wants it shipped by March.</t>
  </si>
  <si>
    <t>Capture all three viewpoints; identify tensions. Must NOT favor one over others.</t>
  </si>
  <si>
    <t>T7</t>
  </si>
  <si>
    <t>API must support 10,000 concurrent users. Response time &lt; 200ms at p95. Must integrate with Salesforce REST API v52.</t>
  </si>
  <si>
    <t>Extract exact numbers (10K users, 200ms p95, Salesforce v52); classify as NFRs. Must NOT round or modify numbers.</t>
  </si>
  <si>
    <t>T8</t>
  </si>
  <si>
    <t>Admins need bulk user management. End users need a simplified view. Auditors need read-only access with full history.</t>
  </si>
  <si>
    <t>Identify 3 personas (Admin, End User, Auditor); separate stories for each. Must NOT merge into generic user stories.</t>
  </si>
  <si>
    <t>T9</t>
  </si>
  <si>
    <t>Meeting happened. Notes: none.</t>
  </si>
  <si>
    <t>Flag as no requirements extractable. Must NOT generate a PRD from nothing.</t>
  </si>
  <si>
    <t>T10</t>
  </si>
  <si>
    <t>SSO login requires the new auth service which is being built by Team Alpha. ETA unknown.</t>
  </si>
  <si>
    <t>Extract the feature (SSO); flag dependency on auth service / Team Alpha; flag unknown ETA as a risk.</t>
  </si>
  <si>
    <t>T11</t>
  </si>
  <si>
    <t>Follow template structure; include all sections; must only contain requirements from T1.</t>
  </si>
  <si>
    <t>T12</t>
  </si>
  <si>
    <t>Epics and User Stories in 'As a [user]' format; include priority suggestions.</t>
  </si>
  <si>
    <t>Input was vague about</t>
  </si>
  <si>
    <t>Correct behavior (ask / UNKNOWN)?</t>
  </si>
  <si>
    <t>Or did it invent? What?</t>
  </si>
  <si>
    <t>Held-out? (guardrail NOT tuned on this)</t>
  </si>
  <si>
    <t>Pass condition is inverted here: a confident, complete answer to a vague input is a FAILURE even if it reads well. Mark which cases are HELD-OUT — a guardrail only tested on the inputs it was written for proves almost nothing.</t>
  </si>
  <si>
    <t>what metrics/format/users — 'something like Competitor X'</t>
  </si>
  <si>
    <t>which wins: 5s refresh vs minimize API calls</t>
  </si>
  <si>
    <t>what dashboard, what real-time, what budget</t>
  </si>
  <si>
    <t>everything — no content at all</t>
  </si>
  <si>
    <t>auth service ETA</t>
  </si>
  <si>
    <t>Which agent failed</t>
  </si>
  <si>
    <t>What it produced (before)</t>
  </si>
  <si>
    <t>Guardrail added to prompt</t>
  </si>
  <si>
    <t>Result on re-run (after)</t>
  </si>
  <si>
    <t>This sheet is the evidence for the Testing Observations section of the writeup. Fill it in even for failures fixed in minutes.</t>
  </si>
  <si>
    <t>Baseline Test Dataset — PRD Genie</t>
  </si>
  <si>
    <t>Total tests</t>
  </si>
  <si>
    <t>Passed</t>
  </si>
  <si>
    <t>Failed</t>
  </si>
  <si>
    <t>Hallucinations detected</t>
  </si>
  <si>
    <t>Model / pipeline version</t>
  </si>
  <si>
    <t>Date run</t>
  </si>
  <si>
    <t>The user should be able to filter reports by date range, category, and status. Results must load in under 2 seconds. PM: Sarah. Deadline: Q3. Use the extraction output from T1 to generate a full PRD.</t>
  </si>
  <si>
    <t>The user should be able to filter reports by date range, category, and status. Results must load in under 2 seconds. PM: Sarah. Deadline: Q3. Use the extraction output from T1 to generate a full PRD. Use the PRD to generate user stories.</t>
  </si>
  <si>
    <t># Product Requirements Document
## 1. Product Overview
Not discussed in this meeting.
## 2. Goals and Objectives
Not discussed in this meeting.
## 3. User Personas
Not discussed in this meeting.
## 4. Feature Requirements
### 4.1 Functional Requirements
| ID     | Requirement                                                   | Priority   | Source  |
|--------|---------------------------------------------------------------|------------|---------|
| REQ-001| The user should be able to filter reports by date range, category, and status. | Not stated | REQ-001 |
### 4.2 Non-Functional Requirements
| ID     | Requirement                          | Category | Target |
|--------|--------------------------------------|----------|--------|
| REQ-002| Results must load in under 2 seconds. | UNKNOWN  | UNKNOWN|
## 5. Acceptance Criteria
Not discussed in this meeting.
## 6. Out of Scope
Not discussed in this meeting.
## 7. Dependencies
| Dependency | Owner | Status | Risk |
|------------|-------|--------|------|
Not discussed in this meeting.
## 8. Assumptions
Not discussed in this meeting.
## 9. Open Questions
Not discussed in this meeting.
## 10. Timeline
- Deadline for the project: Q3.</t>
  </si>
  <si>
    <t># Product Requirements Document
## 1. Product Overview
Not discussed in this meeting.
## 2. Goals and Objectives
Not discussed in this meeting.
## 3. User Personas
Not discussed in this meeting.
## 4. Feature Requirements
### 4.1 Functional Requirements
| ID     | Requirement                        | Priority   | Source  |
|--------|------------------------------------|------------|---------|
| REQ-001| better reporting                   | Not stated | REQ-001 |
| REQ-002| reporting similar to Competitor X  | Not stated | REQ-002 |
### 4.2 Non-Functional Requirements
Not discussed in this meeting.
## 5. Acceptance Criteria
Not discussed in this meeting.
## 6. Out of Scope
Not discussed in this meeting.
## 7. Dependencies
Not discussed in this meeting.
## 8. Assumptions
Not discussed in this meeting.
## 9. Open Questions
Not discussed in this meeting.
## 10. Timeline
Not discussed in this meeting.</t>
  </si>
  <si>
    <t># Product Requirements Document
## 1. Product Overview
Not discussed in this meeting.
## 2. Goals and Objectives
Not discussed in this meeting.
## 3. User Personas
Not discussed in this meeting.
## 4. Feature Requirements
### 4.1 Functional Requirements
| ID     | Requirement                                | Priority   | Source  |
|--------|--------------------------------------------|------------|---------|
| REQ-001| The dashboard should auto-refresh every 5 seconds. | Not stated | REQ-001 |
### 4.2 Non-Functional Requirements
| ID     | Requirement                                | Category   | Target  |
|--------|--------------------------------------------|------------|---------|
| REQ-002| Performance is critical, minimize API calls. | Performance | Not stated |
## 5. Acceptance Criteria
Not discussed in this meeting.
## 6. Out of Scope
Not discussed in this meeting.
## 7. Dependencies
| Dependency | Owner | Status | Risk |
|------------|-------|--------|------|
Not discussed in this meeting.
## 8. Assumptions
Not discussed in this meeting.
## 9. Open Questions
Not discussed in this meeting.
## 10. Timeline
Not discussed in this meeting.</t>
  </si>
  <si>
    <t># Product Requirements Document
## 1. Product Overview
Not discussed in this meeting.
## 2. Goals and Objectives
Not discussed in this meeting.
## 3. User Personas
Not discussed in this meeting.
## 4. Feature Requirements
### 4.1 Functional Requirements
| ID     | Requirement                              | Priority   | Source  |
|--------|------------------------------------------|------------|---------|
| REQ-001| Users need to export reports as PDF and CSV. | Not stated | REQ-001 |
| REQ-002| PDF must include company logo.            | Not stated | REQ-002 |
| REQ-003| CSV must preserve formulas.               | Not stated | REQ-003 |
### 4.2 Non-Functional Requirements
Not discussed in this meeting.
## 5. Acceptance Criteria
Not discussed in this meeting.
## 6. Out of Scope
Not discussed in this meeting.
## 7. Dependencies
| Dependency | Owner | Status | Risk |
|------------|-------|--------|------|
Not discussed in this meeting.
## 8. Assumptions
Not discussed in this meeting.
## 9. Open Questions
Not discussed in this meeting.
## 10. Timeline
Not discussed in this meeting.</t>
  </si>
  <si>
    <t># PRD Genie - No PRD Generated
**Test ID:** chat
**Input assessment:** PARTIAL
No requirements could be extracted from this input, so no PRD was generated.
Generating one would require inventing content that was never stated.
## What is missing
## Topics not discussed
- success metrics
- user personas
- business goal
- out of scope
- dependencies
- assumptions
- timeline
- non-functional requirements
- acceptance criteria
_See clarification-questions.md for the questions to take back to stakeholders._</t>
  </si>
  <si>
    <t># PRD Genie - No PRD Generated
**Test ID:** chat
**Input assessment:** PARTIAL
No requirements could be extracted from this input, so no PRD was generated.
Generating one would require inventing content that was never stated.
## What is missing
## Topics not discussed
- success metrics
- user personas
- business goal
- out of scope
- dependencies
- assumptions
- non-functional requirements
- acceptance criteria
_See clarification-questions.md for the questions to take back to stakeholders._</t>
  </si>
  <si>
    <t># Product Requirements Document
## 1. Product Overview
Not discussed in this meeting.
## 2. Goals and Objectives
Not discussed in this meeting.
## 3. User Personas
Not discussed in this meeting.
## 4. Feature Requirements
### 4.1 Functional Requirements
| ID     | Requirement                                      | Priority   | Source  |
|--------|--------------------------------------------------|------------|---------|
| REQ-001| API must support 10,000 concurrent users.        | Not stated | REQ-001 |
| REQ-003| Must integrate with Salesforce REST API v52.     | Not stated | REQ-003 |
### 4.2 Non-Functional Requirements
| ID     | Requirement                        | Category | Target   |
|--------|------------------------------------|----------|----------|
| REQ-002| Response time &lt; 200ms at p95.      | UNKNOWN  | UNKNOWN  |
## 5. Acceptance Criteria
Not discussed in this meeting.
## 6. Out of Scope
Not discussed in this meeting.
## 7. Dependencies
| Dependency | Owner | Status | Risk |
|------------|-------|--------|------|
Not discussed in this meeting.
## 8. Assumptions
Not discussed in this meeting.
## 9. Open Questions
None.
## 10. Timeline
Not discussed in this meeting.</t>
  </si>
  <si>
    <t># Product Requirements Document
## 1. Product Overview
Not discussed in this meeting.
## 2. Goals and Objectives
Not discussed in this meeting.
## 3. User Personas
- **Admin**: Admins need bulk user management. Current workaround: UNKNOWN.
- **End user**: End users need a simplified view. Current workaround: UNKNOWN.
- **Auditor**: Auditors need read-only access with full history. Current workaround: UNKNOWN.
## 4. Feature Requirements
### 4.1 Functional Requirements
| ID     | Requirement                           | Priority   | Source  |
|--------|---------------------------------------|------------|---------|
| REQ-001| Bulk user management                  | Not stated | REQ-001 |
| REQ-002| Simplified view                       | Not stated | REQ-002 |
| REQ-003| Read-only access with full history    | Not stated | REQ-003 |
### 4.2 Non-Functional Requirements
Not discussed in this meeting.
## 5. Acceptance Criteria
Not discussed in this meeting.
## 6. Out of Scope
Not discussed in this meeting.
## 7. Dependencies
| Dependency | Owner | Status | Risk |
|------------|-------|--------|------|
Not discussed in this meeting.
## 8. Assumptions
Not discussed in this meeting.
## 9. Open Questions
None.
## 10. Timeline
Not discussed in this meeting.</t>
  </si>
  <si>
    <t># PRD Genie - No PRD Generated
**Test ID:** chat
**Input assessment:** INSUFFICIENT
No requirements could be extracted from this input, so no PRD was generated.
Generating one would require inventing content that was never stated.
## What is missing
## Topics not discussed
- success metrics
- user personas
- business goal
- out of scope
- dependencies
- assumptions
- timeline
- non-functional requirements
- acceptance criteria
_See clarification-questions.md for the questions to take back to stakeholders._</t>
  </si>
  <si>
    <t># Product Requirements Document
## 1. Product Overview
Not discussed in this meeting.
## 2. Goals and Objectives
Not discussed in this meeting.
## 3. User Personas
Not discussed in this meeting.
## 4. Feature Requirements
### 4.1 Functional Requirements
| ID     | Requirement                                                   | Priority   | Source  |
|--------|---------------------------------------------------------------|------------|---------|
| REQ-001| The user should be able to filter reports by date range, category, and status. | Not stated | REQ-001 |
### 4.2 Non-Functional Requirements
| ID     | Requirement                          | Category | Target |
|--------|--------------------------------------|----------|--------|
| REQ-002| Results must load in under 2 seconds. | UNKNOWN  | UNKNOWN|
## 5. Acceptance Criteria
Not discussed in this meeting.
## 6. Out of Scope
Not discussed in this meeting.
## 7. Dependencies
| Dependency | Owner | Status | Risk |
|------------|-------|--------|------|
Not discussed in this meeting.
## 8. Assumptions
Not discussed in this meeting.
## 9. Open Questions
Not discussed in this meeting.
## 10. Timeline
Deadline for the project: Q3.</t>
  </si>
  <si>
    <t># Product Requirements Document
## 1. Product Overview
Not discussed in this meeting.
## 2. Goals and Objectives
Not discussed in this meeting.
## 3. User Personas
Not discussed in this meeting.
## 4. Feature Requirements
### 4.1 Functional Requirements
| ID     | Requirement                                                   | Priority   | Source  |
|--------|---------------------------------------------------------------|------------|---------|
| REQ-001| The user should be able to filter reports by date range, category, and status. | Not stated | REQ-001 |
### 4.2 Non-Functional Requirements
| ID     | Requirement                          | Category | Target |
|--------|--------------------------------------|----------|--------|
| REQ-002| Results must load in under 2 seconds. | Performance | Not stated |
## 5. Acceptance Criteria
Not discussed in this meeting.
## 6. Out of Scope
Not discussed in this meeting.
## 7. Dependencies
| Dependency                  | Owner   | Status  | Risk    |
|-----------------------------|---------|---------|---------|
| Extraction output from T1   | UNKNOWN | UNKNOWN | UNKNOWN |
## 8. Assumptions
Not discussed in this meeting.
## 9. Open Questions
- What specific categories can reports be filtered by?
- What statuses are available for filtering?
- What are the success metrics for this feature?
## 10. Timeline
- Deadline for the project: Q3.</t>
  </si>
  <si>
    <t>yes</t>
  </si>
  <si>
    <t>Pass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</si>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</sst>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C00000"/>
      <name val="Calibri"/>
    </font>
    <font>
      <i/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0" customWidth="1"/>
    <col min="3" max="3" width="46" customWidth="1"/>
    <col min="4" max="4" width="26" customWidth="1"/>
    <col min="5" max="5" width="22" customWidth="1"/>
    <col min="6" max="6" width="26" customWidth="1"/>
    <col min="7" max="7" width="12" customWidth="1"/>
    <col min="8" max="8" width="30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customHeight="1" x14ac:dyDescent="0.35">
      <c r="A2" s="2" t="s">
        <v>9</v>
      </c>
      <c r="B2" s="2" t="s">
        <v>10</v>
      </c>
      <c r="C2" s="2" t="s">
        <v>11</v>
      </c>
      <c r="D2" s="2" t="s">
        <v>68</v>
      </c>
      <c r="E2" s="2" t="s">
        <v>79</v>
      </c>
      <c r="F2" s="2" t="s">
        <v>81</v>
      </c>
      <c r="G2" s="2" t="s">
        <v>12</v>
      </c>
      <c r="H2" s="2" t="s">
        <v>80</v>
      </c>
      <c r="I2" s="2"/>
    </row>
    <row r="3" spans="1:9" ht="72" customHeight="1" x14ac:dyDescent="0.35">
      <c r="A3" s="2" t="s">
        <v>13</v>
      </c>
      <c r="B3" s="2" t="s">
        <v>14</v>
      </c>
      <c r="C3" s="2" t="s">
        <v>15</v>
      </c>
      <c r="D3" s="2" t="s">
        <v>69</v>
      </c>
      <c r="E3" s="2" t="s">
        <v>79</v>
      </c>
      <c r="F3" s="2" t="s">
        <v>81</v>
      </c>
      <c r="G3" s="2" t="s">
        <v>12</v>
      </c>
      <c r="H3" s="2" t="s">
        <v>80</v>
      </c>
      <c r="I3" s="2"/>
    </row>
    <row r="4" spans="1:9" ht="72" customHeight="1" x14ac:dyDescent="0.35">
      <c r="A4" s="2" t="s">
        <v>16</v>
      </c>
      <c r="B4" s="2" t="s">
        <v>17</v>
      </c>
      <c r="C4" s="2" t="s">
        <v>18</v>
      </c>
      <c r="D4" s="2" t="s">
        <v>70</v>
      </c>
      <c r="E4" s="2" t="s">
        <v>79</v>
      </c>
      <c r="F4" s="2" t="s">
        <v>81</v>
      </c>
      <c r="G4" s="2" t="s">
        <v>12</v>
      </c>
      <c r="H4" s="2" t="s">
        <v>80</v>
      </c>
      <c r="I4" s="2"/>
    </row>
    <row r="5" spans="1:9" ht="72" customHeight="1" x14ac:dyDescent="0.35">
      <c r="A5" s="2" t="s">
        <v>19</v>
      </c>
      <c r="B5" s="2" t="s">
        <v>20</v>
      </c>
      <c r="C5" s="2" t="s">
        <v>21</v>
      </c>
      <c r="D5" s="2" t="s">
        <v>71</v>
      </c>
      <c r="E5" s="2" t="s">
        <v>79</v>
      </c>
      <c r="F5" s="2" t="s">
        <v>81</v>
      </c>
      <c r="G5" s="2" t="s">
        <v>12</v>
      </c>
      <c r="H5" s="2" t="s">
        <v>80</v>
      </c>
      <c r="I5" s="2"/>
    </row>
    <row r="6" spans="1:9" ht="72" customHeight="1" x14ac:dyDescent="0.35">
      <c r="A6" s="2" t="s">
        <v>22</v>
      </c>
      <c r="B6" s="2" t="s">
        <v>23</v>
      </c>
      <c r="C6" s="2" t="s">
        <v>24</v>
      </c>
      <c r="D6" s="2" t="s">
        <v>72</v>
      </c>
      <c r="E6" s="2" t="s">
        <v>79</v>
      </c>
      <c r="F6" s="2" t="s">
        <v>81</v>
      </c>
      <c r="G6" s="2" t="s">
        <v>12</v>
      </c>
      <c r="H6" s="2" t="s">
        <v>80</v>
      </c>
      <c r="I6" s="2"/>
    </row>
    <row r="7" spans="1:9" ht="72" customHeight="1" x14ac:dyDescent="0.35">
      <c r="A7" s="2" t="s">
        <v>25</v>
      </c>
      <c r="B7" s="2" t="s">
        <v>26</v>
      </c>
      <c r="C7" s="2" t="s">
        <v>27</v>
      </c>
      <c r="D7" s="2" t="s">
        <v>73</v>
      </c>
      <c r="E7" s="2" t="s">
        <v>79</v>
      </c>
      <c r="F7" s="2" t="s">
        <v>81</v>
      </c>
      <c r="G7" s="2" t="s">
        <v>12</v>
      </c>
      <c r="H7" s="2" t="s">
        <v>80</v>
      </c>
      <c r="I7" s="2"/>
    </row>
    <row r="8" spans="1:9" ht="72" customHeight="1" x14ac:dyDescent="0.35">
      <c r="A8" s="2" t="s">
        <v>28</v>
      </c>
      <c r="B8" s="2" t="s">
        <v>29</v>
      </c>
      <c r="C8" s="2" t="s">
        <v>30</v>
      </c>
      <c r="D8" s="2" t="s">
        <v>74</v>
      </c>
      <c r="E8" s="2" t="s">
        <v>79</v>
      </c>
      <c r="F8" s="2" t="s">
        <v>81</v>
      </c>
      <c r="G8" s="2" t="s">
        <v>12</v>
      </c>
      <c r="H8" s="2" t="s">
        <v>80</v>
      </c>
      <c r="I8" s="2"/>
    </row>
    <row r="9" spans="1:9" ht="72" customHeight="1" x14ac:dyDescent="0.35">
      <c r="A9" s="2" t="s">
        <v>31</v>
      </c>
      <c r="B9" s="2" t="s">
        <v>32</v>
      </c>
      <c r="C9" s="2" t="s">
        <v>33</v>
      </c>
      <c r="D9" s="2" t="s">
        <v>75</v>
      </c>
      <c r="E9" s="2" t="s">
        <v>79</v>
      </c>
      <c r="F9" s="2" t="s">
        <v>81</v>
      </c>
      <c r="G9" s="2" t="s">
        <v>12</v>
      </c>
      <c r="H9" s="2" t="s">
        <v>80</v>
      </c>
      <c r="I9" s="2"/>
    </row>
    <row r="10" spans="1:9" ht="72" customHeight="1" x14ac:dyDescent="0.35">
      <c r="A10" s="2" t="s">
        <v>34</v>
      </c>
      <c r="B10" s="2" t="s">
        <v>35</v>
      </c>
      <c r="C10" s="2" t="s">
        <v>36</v>
      </c>
      <c r="D10" s="2" t="s">
        <v>76</v>
      </c>
      <c r="E10" s="2" t="s">
        <v>79</v>
      </c>
      <c r="F10" s="2" t="s">
        <v>81</v>
      </c>
      <c r="G10" s="2" t="s">
        <v>12</v>
      </c>
      <c r="H10" s="2" t="s">
        <v>80</v>
      </c>
      <c r="I10" s="2"/>
    </row>
    <row r="11" spans="1:9" ht="72" customHeight="1" x14ac:dyDescent="0.35">
      <c r="A11" s="2" t="s">
        <v>37</v>
      </c>
      <c r="B11" s="2" t="s">
        <v>38</v>
      </c>
      <c r="C11" s="2" t="s">
        <v>39</v>
      </c>
      <c r="D11" s="2" t="s">
        <v>72</v>
      </c>
      <c r="E11" s="2" t="s">
        <v>79</v>
      </c>
      <c r="F11" s="2" t="s">
        <v>81</v>
      </c>
      <c r="G11" s="2" t="s">
        <v>12</v>
      </c>
      <c r="H11" s="2" t="s">
        <v>80</v>
      </c>
      <c r="I11" s="2"/>
    </row>
    <row r="12" spans="1:9" ht="72" customHeight="1" x14ac:dyDescent="0.35">
      <c r="A12" s="2" t="s">
        <v>40</v>
      </c>
      <c r="B12" s="2" t="s">
        <v>66</v>
      </c>
      <c r="C12" s="2" t="s">
        <v>41</v>
      </c>
      <c r="D12" s="2" t="s">
        <v>77</v>
      </c>
      <c r="E12" s="2" t="s">
        <v>79</v>
      </c>
      <c r="F12" s="2" t="s">
        <v>81</v>
      </c>
      <c r="G12" s="2" t="s">
        <v>12</v>
      </c>
      <c r="H12" s="2" t="s">
        <v>80</v>
      </c>
      <c r="I12" s="2"/>
    </row>
    <row r="13" spans="1:9" ht="72" customHeight="1" x14ac:dyDescent="0.35">
      <c r="A13" s="2" t="s">
        <v>42</v>
      </c>
      <c r="B13" s="2" t="s">
        <v>67</v>
      </c>
      <c r="C13" s="2" t="s">
        <v>43</v>
      </c>
      <c r="D13" s="2" t="s">
        <v>78</v>
      </c>
      <c r="E13" s="2" t="s">
        <v>79</v>
      </c>
      <c r="F13" s="2" t="s">
        <v>81</v>
      </c>
      <c r="G13" s="2" t="s">
        <v>12</v>
      </c>
      <c r="H13" s="2" t="s">
        <v>80</v>
      </c>
      <c r="I13" s="2"/>
    </row>
  </sheetData>
  <dataValidations count="2">
    <dataValidation type="list" allowBlank="1" sqref="G2:G13" xr:uid="{00000000-0002-0000-0000-000000000000}">
      <formula1>"PASS,FAIL"</formula1>
    </dataValidation>
    <dataValidation type="list" allowBlank="1" sqref="F2:F13" xr:uid="{00000000-0002-0000-0000-000001000000}">
      <formula1>"No,Yes"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2" customWidth="1"/>
    <col min="3" max="3" width="30" customWidth="1"/>
    <col min="4" max="4" width="40" customWidth="1"/>
    <col min="5" max="5" width="12" customWidth="1"/>
    <col min="6" max="6" width="26" customWidth="1"/>
    <col min="7" max="7" width="60" customWidth="1"/>
  </cols>
  <sheetData>
    <row r="1" spans="1:7" ht="30" customHeight="1" x14ac:dyDescent="0.35">
      <c r="A1" s="1" t="s">
        <v>0</v>
      </c>
      <c r="B1" s="1" t="s">
        <v>44</v>
      </c>
      <c r="C1" s="1" t="s">
        <v>45</v>
      </c>
      <c r="D1" s="1" t="s">
        <v>46</v>
      </c>
      <c r="E1" s="1" t="s">
        <v>7</v>
      </c>
      <c r="F1" s="1" t="s">
        <v>47</v>
      </c>
      <c r="G1" s="3" t="s">
        <v>48</v>
      </c>
    </row>
    <row r="2" spans="1:7" ht="40" customHeight="1" x14ac:dyDescent="0.35">
      <c r="A2" t="s">
        <v>13</v>
      </c>
      <c r="B2" s="2" t="s">
        <v>49</v>
      </c>
    </row>
    <row r="3" spans="1:7" ht="40" customHeight="1" x14ac:dyDescent="0.35">
      <c r="A3" t="s">
        <v>16</v>
      </c>
      <c r="B3" s="2" t="s">
        <v>50</v>
      </c>
    </row>
    <row r="4" spans="1:7" ht="40" customHeight="1" x14ac:dyDescent="0.35">
      <c r="A4" t="s">
        <v>22</v>
      </c>
      <c r="B4" s="2" t="s">
        <v>51</v>
      </c>
    </row>
    <row r="5" spans="1:7" ht="40" customHeight="1" x14ac:dyDescent="0.35">
      <c r="A5" t="s">
        <v>34</v>
      </c>
      <c r="B5" s="2" t="s">
        <v>52</v>
      </c>
    </row>
    <row r="6" spans="1:7" ht="40" customHeight="1" x14ac:dyDescent="0.35">
      <c r="A6" t="s">
        <v>37</v>
      </c>
      <c r="B6" s="2" t="s">
        <v>53</v>
      </c>
    </row>
  </sheetData>
  <dataValidations count="2">
    <dataValidation type="list" allowBlank="1" sqref="F2:F40" xr:uid="{00000000-0002-0000-0100-000000000000}">
      <formula1>"HELD-OUT,tuned on this"</formula1>
    </dataValidation>
    <dataValidation type="list" allowBlank="1" sqref="E2:E40" xr:uid="{00000000-0002-0000-0100-000001000000}">
      <formula1>"PASS,FAIL"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2" customWidth="1"/>
    <col min="3" max="3" width="40" customWidth="1"/>
    <col min="4" max="4" width="44" customWidth="1"/>
    <col min="5" max="5" width="40" customWidth="1"/>
    <col min="6" max="6" width="60" customWidth="1"/>
  </cols>
  <sheetData>
    <row r="1" spans="1:6" ht="30" customHeight="1" x14ac:dyDescent="0.3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4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5" x14ac:dyDescent="0.35"/>
  <cols>
    <col min="1" max="1" width="28" customWidth="1"/>
    <col min="2" max="2" width="30" customWidth="1"/>
  </cols>
  <sheetData>
    <row r="1" spans="1:2" ht="18.5" x14ac:dyDescent="0.45">
      <c r="A1" s="5" t="s">
        <v>59</v>
      </c>
    </row>
    <row r="3" spans="1:2" x14ac:dyDescent="0.35">
      <c r="A3" s="6" t="s">
        <v>60</v>
      </c>
      <c r="B3">
        <f>COUNTA('Test Results'!A2:A13)</f>
        <v>12</v>
      </c>
    </row>
    <row r="4" spans="1:2" x14ac:dyDescent="0.35">
      <c r="A4" s="6" t="s">
        <v>61</v>
      </c>
      <c r="B4">
        <f>COUNTIF('Test Results'!G2:G13,"PASS")</f>
        <v>0</v>
      </c>
    </row>
    <row r="5" spans="1:2" x14ac:dyDescent="0.35">
      <c r="A5" s="6" t="s">
        <v>62</v>
      </c>
      <c r="B5">
        <f>COUNTIF('Test Results'!G2:G13,"FAIL")</f>
        <v>0</v>
      </c>
    </row>
    <row r="6" spans="1:2" x14ac:dyDescent="0.35">
      <c r="A6" s="6" t="s">
        <v>63</v>
      </c>
      <c r="B6">
        <f>COUNTIF('Test Results'!F2:F13,"Yes")</f>
        <v>0</v>
      </c>
    </row>
    <row r="7" spans="1:2" x14ac:dyDescent="0.35">
      <c r="A7" s="6" t="s">
        <v>64</v>
      </c>
    </row>
    <row r="8" spans="1:2" x14ac:dyDescent="0.35">
      <c r="A8" s="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Results</vt:lpstr>
      <vt:lpstr>Edge Cases</vt:lpstr>
      <vt:lpstr>Fixes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Shailendra Parolkar</cp:lastModifiedBy>
  <dcterms:created xsi:type="dcterms:W3CDTF">2026-07-21T01:50:53Z</dcterms:created>
  <dcterms:modified xsi:type="dcterms:W3CDTF">2026-07-21T19:03:26Z</dcterms:modified>
</cp:coreProperties>
</file>